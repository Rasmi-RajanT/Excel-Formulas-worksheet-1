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ata Analytics\Excel\"/>
    </mc:Choice>
  </mc:AlternateContent>
  <xr:revisionPtr revIDLastSave="0" documentId="13_ncr:1_{C0E88377-420C-4D21-9A80-98B368D603A8}" xr6:coauthVersionLast="47" xr6:coauthVersionMax="47" xr10:uidLastSave="{00000000-0000-0000-0000-000000000000}"/>
  <bookViews>
    <workbookView xWindow="-120" yWindow="-120" windowWidth="20730" windowHeight="11160" activeTab="3" xr2:uid="{1D6E3CC1-D34F-4247-8E6B-2624B21A2CCF}"/>
  </bookViews>
  <sheets>
    <sheet name="Operators" sheetId="3" r:id="rId1"/>
    <sheet name="Functions" sheetId="1" r:id="rId2"/>
    <sheet name="Text Functions" sheetId="2" r:id="rId3"/>
    <sheet name="Text fns Answer" sheetId="5" r:id="rId4"/>
    <sheet name="Functions Answers" sheetId="4" r:id="rId5"/>
  </sheets>
  <definedNames>
    <definedName name="MATHS">Functions!$D$4:$D$18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2" i="5"/>
  <c r="F28" i="4"/>
  <c r="F27" i="4"/>
  <c r="F26" i="4"/>
  <c r="F25" i="4"/>
  <c r="F24" i="4"/>
  <c r="F23" i="4"/>
  <c r="F22" i="4"/>
  <c r="F21" i="4"/>
  <c r="F20" i="4"/>
  <c r="N5" i="4" a="1"/>
  <c r="N5" i="4" s="1"/>
  <c r="N6" i="4" a="1"/>
  <c r="N6" i="4"/>
  <c r="N7" i="4" a="1"/>
  <c r="N7" i="4" s="1"/>
  <c r="N8" i="4" a="1"/>
  <c r="N8" i="4"/>
  <c r="N9" i="4" a="1"/>
  <c r="N9" i="4" s="1"/>
  <c r="N10" i="4" a="1"/>
  <c r="N10" i="4"/>
  <c r="N11" i="4" a="1"/>
  <c r="N11" i="4" s="1"/>
  <c r="N12" i="4" a="1"/>
  <c r="N12" i="4"/>
  <c r="N13" i="4" a="1"/>
  <c r="N13" i="4" s="1"/>
  <c r="N14" i="4" a="1"/>
  <c r="N14" i="4"/>
  <c r="N15" i="4" a="1"/>
  <c r="N15" i="4" s="1"/>
  <c r="N16" i="4" a="1"/>
  <c r="N16" i="4"/>
  <c r="N17" i="4" a="1"/>
  <c r="N17" i="4" s="1"/>
  <c r="N18" i="4" a="1"/>
  <c r="N18" i="4"/>
  <c r="N4" i="4" a="1"/>
  <c r="N4" i="4" s="1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<sst xmlns="http://schemas.openxmlformats.org/spreadsheetml/2006/main" count="223" uniqueCount="103">
  <si>
    <t>ID</t>
  </si>
  <si>
    <t>NAME</t>
  </si>
  <si>
    <t>MATHS</t>
  </si>
  <si>
    <t>PHYSICS</t>
  </si>
  <si>
    <t>CHEMISTRY</t>
  </si>
  <si>
    <t>BIOLOGY</t>
  </si>
  <si>
    <t>Philip gorge</t>
  </si>
  <si>
    <t>Shakira</t>
  </si>
  <si>
    <t>Aravind</t>
  </si>
  <si>
    <t>Filomina</t>
  </si>
  <si>
    <t>sam</t>
  </si>
  <si>
    <t>dilna sherin</t>
  </si>
  <si>
    <t>rohit kapoor</t>
  </si>
  <si>
    <t>sharan kumar</t>
  </si>
  <si>
    <t>shyam joy</t>
  </si>
  <si>
    <t>ram krishnan</t>
  </si>
  <si>
    <t>aleena santhosh</t>
  </si>
  <si>
    <t>joy mathew</t>
  </si>
  <si>
    <t>haleema keyal</t>
  </si>
  <si>
    <t>vinod nair</t>
  </si>
  <si>
    <t>veena alex</t>
  </si>
  <si>
    <t>LEFT()</t>
  </si>
  <si>
    <t>RIGHT()</t>
  </si>
  <si>
    <t>MID()</t>
  </si>
  <si>
    <t>LOWER()</t>
  </si>
  <si>
    <t>UPPER()</t>
  </si>
  <si>
    <t>PROPER()</t>
  </si>
  <si>
    <t>TOTAL</t>
  </si>
  <si>
    <t>MAXIMUM</t>
  </si>
  <si>
    <t>MINIMUM</t>
  </si>
  <si>
    <t>STATUS</t>
  </si>
  <si>
    <t>GRADE</t>
  </si>
  <si>
    <t>AVERAGE</t>
  </si>
  <si>
    <t>AGGREGATE FUNCTIONS</t>
  </si>
  <si>
    <t>A</t>
  </si>
  <si>
    <t>B</t>
  </si>
  <si>
    <t>C</t>
  </si>
  <si>
    <t>D</t>
  </si>
  <si>
    <t>E</t>
  </si>
  <si>
    <t>No. of students (id)</t>
  </si>
  <si>
    <t>No.of students (abscent)</t>
  </si>
  <si>
    <t>No. of students (sl.no)</t>
  </si>
  <si>
    <t>EMC01</t>
  </si>
  <si>
    <t>EMC02</t>
  </si>
  <si>
    <t>EMC03</t>
  </si>
  <si>
    <t>EMC04</t>
  </si>
  <si>
    <t>EMC05</t>
  </si>
  <si>
    <t>EMC06</t>
  </si>
  <si>
    <t>EMC07</t>
  </si>
  <si>
    <t>EMC08</t>
  </si>
  <si>
    <t>EMC09</t>
  </si>
  <si>
    <t>EMC10</t>
  </si>
  <si>
    <t>EMC11</t>
  </si>
  <si>
    <t>EMC12</t>
  </si>
  <si>
    <t>EMC13</t>
  </si>
  <si>
    <t>EMC14</t>
  </si>
  <si>
    <t>EMC15</t>
  </si>
  <si>
    <t>No. of students Pass</t>
  </si>
  <si>
    <t>Total Mark of Pass student</t>
  </si>
  <si>
    <t>Averare Mark of Pass Student</t>
  </si>
  <si>
    <t>Addition</t>
  </si>
  <si>
    <t>Subtraction</t>
  </si>
  <si>
    <t>Multiplication</t>
  </si>
  <si>
    <t>Division</t>
  </si>
  <si>
    <t>+</t>
  </si>
  <si>
    <t>-</t>
  </si>
  <si>
    <t>*</t>
  </si>
  <si>
    <t>/</t>
  </si>
  <si>
    <t>&lt;</t>
  </si>
  <si>
    <t>&gt;</t>
  </si>
  <si>
    <t>&lt;=</t>
  </si>
  <si>
    <t>&gt;=</t>
  </si>
  <si>
    <t>=</t>
  </si>
  <si>
    <t>&lt;&gt;</t>
  </si>
  <si>
    <t>&amp;</t>
  </si>
  <si>
    <t>less than</t>
  </si>
  <si>
    <t>greater than</t>
  </si>
  <si>
    <t>less than equal</t>
  </si>
  <si>
    <t>greater than equal</t>
  </si>
  <si>
    <t>equal</t>
  </si>
  <si>
    <t>Not equal</t>
  </si>
  <si>
    <t>SUM</t>
  </si>
  <si>
    <t>MAX</t>
  </si>
  <si>
    <t>MIN</t>
  </si>
  <si>
    <t>COUNT</t>
  </si>
  <si>
    <t>COUNTA</t>
  </si>
  <si>
    <t>COUNTBLANK</t>
  </si>
  <si>
    <t>250 PASS/FAIL</t>
  </si>
  <si>
    <t>IF</t>
  </si>
  <si>
    <t>400 ABOVE</t>
  </si>
  <si>
    <t>BELOW 100</t>
  </si>
  <si>
    <t>NESTED IF</t>
  </si>
  <si>
    <t>IFS</t>
  </si>
  <si>
    <t>COUNTIF</t>
  </si>
  <si>
    <t>No. of students Pass with B grade</t>
  </si>
  <si>
    <t>COUNTIFS</t>
  </si>
  <si>
    <t>SUMIF</t>
  </si>
  <si>
    <t>Total Mark of Pass student with B grade</t>
  </si>
  <si>
    <t>SUMIFS</t>
  </si>
  <si>
    <t>AVERAGEIF</t>
  </si>
  <si>
    <t>Averare Mark of Pass Student with B grade</t>
  </si>
  <si>
    <t>AVERAGEIFS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</si>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</sst>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0410-7482-41CB-8E60-7EE9F1808658}">
  <dimension ref="B1:E14"/>
  <sheetViews>
    <sheetView topLeftCell="A31" zoomScale="222" zoomScaleNormal="222" workbookViewId="0">
      <selection activeCell="F11" sqref="F11"/>
    </sheetView>
  </sheetViews>
  <sheetFormatPr defaultRowHeight="15" x14ac:dyDescent="0.25"/>
  <cols>
    <col min="2" max="2" width="15.140625" customWidth="1"/>
  </cols>
  <sheetData>
    <row r="1" spans="2:5" x14ac:dyDescent="0.25">
      <c r="D1" s="1"/>
      <c r="E1" s="1"/>
    </row>
    <row r="2" spans="2:5" x14ac:dyDescent="0.25">
      <c r="B2" s="6" t="s">
        <v>60</v>
      </c>
      <c r="C2" s="6" t="s">
        <v>64</v>
      </c>
    </row>
    <row r="3" spans="2:5" x14ac:dyDescent="0.25">
      <c r="B3" s="6" t="s">
        <v>61</v>
      </c>
      <c r="C3" s="6" t="s">
        <v>65</v>
      </c>
    </row>
    <row r="4" spans="2:5" x14ac:dyDescent="0.25">
      <c r="B4" s="6" t="s">
        <v>62</v>
      </c>
      <c r="C4" s="6" t="s">
        <v>66</v>
      </c>
    </row>
    <row r="5" spans="2:5" x14ac:dyDescent="0.25">
      <c r="B5" s="6" t="s">
        <v>63</v>
      </c>
      <c r="C5" s="6" t="s">
        <v>67</v>
      </c>
    </row>
    <row r="7" spans="2:5" x14ac:dyDescent="0.25">
      <c r="B7" s="2" t="s">
        <v>75</v>
      </c>
      <c r="C7" s="2" t="s">
        <v>68</v>
      </c>
    </row>
    <row r="8" spans="2:5" x14ac:dyDescent="0.25">
      <c r="B8" s="2" t="s">
        <v>76</v>
      </c>
      <c r="C8" s="2" t="s">
        <v>69</v>
      </c>
    </row>
    <row r="9" spans="2:5" x14ac:dyDescent="0.25">
      <c r="B9" s="2" t="s">
        <v>77</v>
      </c>
      <c r="C9" s="2" t="s">
        <v>70</v>
      </c>
    </row>
    <row r="10" spans="2:5" x14ac:dyDescent="0.25">
      <c r="B10" s="2" t="s">
        <v>78</v>
      </c>
      <c r="C10" s="2" t="s">
        <v>71</v>
      </c>
    </row>
    <row r="11" spans="2:5" x14ac:dyDescent="0.25">
      <c r="B11" s="2" t="s">
        <v>79</v>
      </c>
      <c r="C11" s="2" t="s">
        <v>72</v>
      </c>
    </row>
    <row r="12" spans="2:5" x14ac:dyDescent="0.25">
      <c r="B12" s="2" t="s">
        <v>80</v>
      </c>
      <c r="C12" s="2" t="s">
        <v>73</v>
      </c>
    </row>
    <row r="14" spans="2:5" x14ac:dyDescent="0.25">
      <c r="C14" s="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4D65-6D19-458A-BF0B-666AEAC6D49A}">
  <dimension ref="A1:S28"/>
  <sheetViews>
    <sheetView topLeftCell="A25" zoomScale="130" zoomScaleNormal="130" workbookViewId="0">
      <selection activeCell="L29" sqref="L29"/>
    </sheetView>
  </sheetViews>
  <sheetFormatPr defaultRowHeight="15" x14ac:dyDescent="0.25"/>
  <cols>
    <col min="3" max="3" width="20.140625" customWidth="1"/>
    <col min="6" max="6" width="10.42578125" bestFit="1" customWidth="1"/>
    <col min="12" max="12" width="13" customWidth="1"/>
    <col min="18" max="18" width="10.42578125" customWidth="1"/>
  </cols>
  <sheetData>
    <row r="1" spans="1:19" x14ac:dyDescent="0.25">
      <c r="H1" s="10" t="s">
        <v>33</v>
      </c>
      <c r="I1" s="10"/>
      <c r="J1" s="10"/>
      <c r="K1" s="10"/>
      <c r="L1" t="s">
        <v>87</v>
      </c>
    </row>
    <row r="2" spans="1:19" x14ac:dyDescent="0.25">
      <c r="H2" s="7" t="s">
        <v>81</v>
      </c>
      <c r="I2" s="7" t="s">
        <v>32</v>
      </c>
      <c r="J2" s="7" t="s">
        <v>82</v>
      </c>
      <c r="K2" s="7" t="s">
        <v>83</v>
      </c>
      <c r="L2" s="7" t="s">
        <v>88</v>
      </c>
      <c r="M2" s="7" t="s">
        <v>91</v>
      </c>
      <c r="N2" s="7" t="s">
        <v>92</v>
      </c>
    </row>
    <row r="3" spans="1:19" x14ac:dyDescent="0.25">
      <c r="A3" s="3" t="s">
        <v>1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27</v>
      </c>
      <c r="I3" s="3" t="s">
        <v>32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31</v>
      </c>
    </row>
    <row r="4" spans="1:19" x14ac:dyDescent="0.25">
      <c r="A4">
        <v>1</v>
      </c>
      <c r="B4" t="s">
        <v>42</v>
      </c>
      <c r="C4" t="s">
        <v>6</v>
      </c>
      <c r="D4">
        <v>56</v>
      </c>
      <c r="E4">
        <v>34</v>
      </c>
      <c r="F4">
        <v>20</v>
      </c>
      <c r="G4">
        <v>50</v>
      </c>
      <c r="R4" s="8" t="s">
        <v>31</v>
      </c>
      <c r="S4" s="8"/>
    </row>
    <row r="5" spans="1:19" x14ac:dyDescent="0.25">
      <c r="A5">
        <v>2</v>
      </c>
      <c r="B5" t="s">
        <v>43</v>
      </c>
      <c r="C5" t="s">
        <v>18</v>
      </c>
      <c r="D5">
        <v>45</v>
      </c>
      <c r="E5">
        <v>56</v>
      </c>
      <c r="F5">
        <v>30</v>
      </c>
      <c r="G5">
        <v>90</v>
      </c>
      <c r="R5" s="5" t="s">
        <v>89</v>
      </c>
      <c r="S5" s="4" t="s">
        <v>34</v>
      </c>
    </row>
    <row r="6" spans="1:19" x14ac:dyDescent="0.25">
      <c r="A6">
        <v>3</v>
      </c>
      <c r="B6" t="s">
        <v>44</v>
      </c>
      <c r="C6" t="s">
        <v>7</v>
      </c>
      <c r="E6">
        <v>78</v>
      </c>
      <c r="F6">
        <v>79</v>
      </c>
      <c r="G6">
        <v>87</v>
      </c>
      <c r="R6" s="5">
        <v>300</v>
      </c>
      <c r="S6" s="4" t="s">
        <v>35</v>
      </c>
    </row>
    <row r="7" spans="1:19" x14ac:dyDescent="0.25">
      <c r="A7">
        <v>4</v>
      </c>
      <c r="B7" t="s">
        <v>45</v>
      </c>
      <c r="C7" t="s">
        <v>8</v>
      </c>
      <c r="D7">
        <v>25</v>
      </c>
      <c r="E7">
        <v>89</v>
      </c>
      <c r="F7">
        <v>64</v>
      </c>
      <c r="G7">
        <v>68</v>
      </c>
      <c r="R7" s="5">
        <v>200</v>
      </c>
      <c r="S7" s="4" t="s">
        <v>36</v>
      </c>
    </row>
    <row r="8" spans="1:19" x14ac:dyDescent="0.25">
      <c r="A8">
        <v>5</v>
      </c>
      <c r="B8" t="s">
        <v>46</v>
      </c>
      <c r="C8" t="s">
        <v>9</v>
      </c>
      <c r="D8">
        <v>60</v>
      </c>
      <c r="E8">
        <v>34</v>
      </c>
      <c r="F8">
        <v>89</v>
      </c>
      <c r="G8">
        <v>59</v>
      </c>
      <c r="R8" s="5">
        <v>100</v>
      </c>
      <c r="S8" s="4" t="s">
        <v>37</v>
      </c>
    </row>
    <row r="9" spans="1:19" x14ac:dyDescent="0.25">
      <c r="A9">
        <v>6</v>
      </c>
      <c r="B9" t="s">
        <v>47</v>
      </c>
      <c r="C9" t="s">
        <v>19</v>
      </c>
      <c r="D9">
        <v>89</v>
      </c>
      <c r="E9">
        <v>56</v>
      </c>
      <c r="G9">
        <v>40</v>
      </c>
      <c r="R9" s="5" t="s">
        <v>90</v>
      </c>
      <c r="S9" s="4" t="s">
        <v>38</v>
      </c>
    </row>
    <row r="10" spans="1:19" x14ac:dyDescent="0.25">
      <c r="A10">
        <v>7</v>
      </c>
      <c r="B10" t="s">
        <v>48</v>
      </c>
      <c r="C10" t="s">
        <v>20</v>
      </c>
      <c r="D10">
        <v>90</v>
      </c>
      <c r="E10">
        <v>76</v>
      </c>
      <c r="F10">
        <v>59</v>
      </c>
      <c r="G10">
        <v>39</v>
      </c>
    </row>
    <row r="11" spans="1:19" x14ac:dyDescent="0.25">
      <c r="A11">
        <v>8</v>
      </c>
      <c r="B11" t="s">
        <v>49</v>
      </c>
      <c r="C11" t="s">
        <v>10</v>
      </c>
      <c r="D11">
        <v>70</v>
      </c>
      <c r="E11">
        <v>66</v>
      </c>
      <c r="F11">
        <v>59</v>
      </c>
      <c r="G11">
        <v>50</v>
      </c>
    </row>
    <row r="12" spans="1:19" x14ac:dyDescent="0.25">
      <c r="A12">
        <v>9</v>
      </c>
      <c r="B12" t="s">
        <v>50</v>
      </c>
      <c r="C12" t="s">
        <v>11</v>
      </c>
      <c r="D12">
        <v>60</v>
      </c>
      <c r="E12">
        <v>65</v>
      </c>
      <c r="F12">
        <v>90</v>
      </c>
      <c r="G12">
        <v>55</v>
      </c>
    </row>
    <row r="13" spans="1:19" x14ac:dyDescent="0.25">
      <c r="A13">
        <v>10</v>
      </c>
      <c r="B13" t="s">
        <v>51</v>
      </c>
      <c r="C13" t="s">
        <v>12</v>
      </c>
      <c r="D13">
        <v>90</v>
      </c>
      <c r="F13">
        <v>95</v>
      </c>
      <c r="G13">
        <v>99</v>
      </c>
    </row>
    <row r="14" spans="1:19" x14ac:dyDescent="0.25">
      <c r="A14">
        <v>11</v>
      </c>
      <c r="B14" t="s">
        <v>52</v>
      </c>
      <c r="C14" t="s">
        <v>13</v>
      </c>
      <c r="D14">
        <v>90</v>
      </c>
      <c r="E14">
        <v>90</v>
      </c>
      <c r="F14">
        <v>85</v>
      </c>
      <c r="G14">
        <v>94</v>
      </c>
    </row>
    <row r="15" spans="1:19" x14ac:dyDescent="0.25">
      <c r="A15">
        <v>12</v>
      </c>
      <c r="B15" t="s">
        <v>53</v>
      </c>
      <c r="C15" t="s">
        <v>14</v>
      </c>
      <c r="E15">
        <v>95</v>
      </c>
      <c r="F15">
        <v>88</v>
      </c>
      <c r="G15">
        <v>85</v>
      </c>
    </row>
    <row r="16" spans="1:19" x14ac:dyDescent="0.25">
      <c r="A16">
        <v>13</v>
      </c>
      <c r="B16" t="s">
        <v>54</v>
      </c>
      <c r="C16" t="s">
        <v>15</v>
      </c>
      <c r="D16">
        <v>89</v>
      </c>
      <c r="E16">
        <v>80</v>
      </c>
      <c r="F16">
        <v>99</v>
      </c>
      <c r="G16">
        <v>52</v>
      </c>
    </row>
    <row r="17" spans="1:7" x14ac:dyDescent="0.25">
      <c r="A17">
        <v>14</v>
      </c>
      <c r="B17" t="s">
        <v>55</v>
      </c>
      <c r="C17" t="s">
        <v>16</v>
      </c>
      <c r="D17">
        <v>85</v>
      </c>
      <c r="E17">
        <v>92</v>
      </c>
      <c r="F17">
        <v>70</v>
      </c>
      <c r="G17">
        <v>74</v>
      </c>
    </row>
    <row r="18" spans="1:7" x14ac:dyDescent="0.25">
      <c r="A18">
        <v>15</v>
      </c>
      <c r="B18" t="s">
        <v>56</v>
      </c>
      <c r="C18" t="s">
        <v>17</v>
      </c>
      <c r="D18">
        <v>95</v>
      </c>
      <c r="E18">
        <v>91</v>
      </c>
      <c r="F18">
        <v>67</v>
      </c>
      <c r="G18">
        <v>83</v>
      </c>
    </row>
    <row r="19" spans="1:7" ht="15.75" thickBot="1" x14ac:dyDescent="0.3"/>
    <row r="20" spans="1:7" ht="17.45" customHeight="1" x14ac:dyDescent="0.25">
      <c r="A20" s="20" t="s">
        <v>84</v>
      </c>
      <c r="B20" s="21"/>
      <c r="C20" s="11" t="s">
        <v>41</v>
      </c>
      <c r="D20" s="11"/>
      <c r="E20" s="11"/>
      <c r="F20" s="12"/>
      <c r="G20" s="13"/>
    </row>
    <row r="21" spans="1:7" ht="21" customHeight="1" x14ac:dyDescent="0.25">
      <c r="A21" s="22" t="s">
        <v>85</v>
      </c>
      <c r="B21" s="23"/>
      <c r="C21" s="8" t="s">
        <v>39</v>
      </c>
      <c r="D21" s="8"/>
      <c r="E21" s="8"/>
      <c r="F21" s="14"/>
      <c r="G21" s="15"/>
    </row>
    <row r="22" spans="1:7" ht="19.7" customHeight="1" x14ac:dyDescent="0.25">
      <c r="A22" s="22" t="s">
        <v>86</v>
      </c>
      <c r="B22" s="23"/>
      <c r="C22" s="8" t="s">
        <v>40</v>
      </c>
      <c r="D22" s="8"/>
      <c r="E22" s="8"/>
      <c r="F22" s="14"/>
      <c r="G22" s="15"/>
    </row>
    <row r="23" spans="1:7" ht="22.9" customHeight="1" x14ac:dyDescent="0.25">
      <c r="A23" s="22" t="s">
        <v>93</v>
      </c>
      <c r="B23" s="23"/>
      <c r="C23" s="8" t="s">
        <v>57</v>
      </c>
      <c r="D23" s="8"/>
      <c r="E23" s="8"/>
      <c r="F23" s="14"/>
      <c r="G23" s="15"/>
    </row>
    <row r="24" spans="1:7" ht="22.15" customHeight="1" x14ac:dyDescent="0.25">
      <c r="A24" s="22" t="s">
        <v>95</v>
      </c>
      <c r="B24" s="23"/>
      <c r="C24" s="8" t="s">
        <v>94</v>
      </c>
      <c r="D24" s="8"/>
      <c r="E24" s="8"/>
      <c r="F24" s="14"/>
      <c r="G24" s="15"/>
    </row>
    <row r="25" spans="1:7" ht="22.15" customHeight="1" x14ac:dyDescent="0.25">
      <c r="A25" s="22" t="s">
        <v>96</v>
      </c>
      <c r="B25" s="23"/>
      <c r="C25" s="8" t="s">
        <v>58</v>
      </c>
      <c r="D25" s="8"/>
      <c r="E25" s="8"/>
      <c r="F25" s="14"/>
      <c r="G25" s="15"/>
    </row>
    <row r="26" spans="1:7" ht="22.15" customHeight="1" x14ac:dyDescent="0.25">
      <c r="A26" s="22" t="s">
        <v>98</v>
      </c>
      <c r="B26" s="23"/>
      <c r="C26" s="8" t="s">
        <v>97</v>
      </c>
      <c r="D26" s="8"/>
      <c r="E26" s="8"/>
      <c r="F26" s="14"/>
      <c r="G26" s="15"/>
    </row>
    <row r="27" spans="1:7" ht="20.45" customHeight="1" x14ac:dyDescent="0.25">
      <c r="A27" s="22" t="s">
        <v>99</v>
      </c>
      <c r="B27" s="23"/>
      <c r="C27" s="8" t="s">
        <v>59</v>
      </c>
      <c r="D27" s="8"/>
      <c r="E27" s="8"/>
      <c r="F27" s="14"/>
      <c r="G27" s="15"/>
    </row>
    <row r="28" spans="1:7" ht="23.45" customHeight="1" thickBot="1" x14ac:dyDescent="0.3">
      <c r="A28" s="16" t="s">
        <v>101</v>
      </c>
      <c r="B28" s="17"/>
      <c r="C28" s="9" t="s">
        <v>100</v>
      </c>
      <c r="D28" s="9"/>
      <c r="E28" s="9"/>
      <c r="F28" s="18"/>
      <c r="G28" s="19"/>
    </row>
  </sheetData>
  <mergeCells count="29">
    <mergeCell ref="A28:B28"/>
    <mergeCell ref="F27:G27"/>
    <mergeCell ref="F28:G28"/>
    <mergeCell ref="A20:B20"/>
    <mergeCell ref="A21:B21"/>
    <mergeCell ref="A22:B22"/>
    <mergeCell ref="A23:B23"/>
    <mergeCell ref="A24:B24"/>
    <mergeCell ref="A25:B25"/>
    <mergeCell ref="A26:B26"/>
    <mergeCell ref="A27:B27"/>
    <mergeCell ref="F21:G21"/>
    <mergeCell ref="F22:G22"/>
    <mergeCell ref="F23:G23"/>
    <mergeCell ref="F24:G24"/>
    <mergeCell ref="F25:G25"/>
    <mergeCell ref="C27:E27"/>
    <mergeCell ref="C28:E28"/>
    <mergeCell ref="H1:K1"/>
    <mergeCell ref="R4:S4"/>
    <mergeCell ref="C20:E20"/>
    <mergeCell ref="C21:E21"/>
    <mergeCell ref="C22:E22"/>
    <mergeCell ref="F20:G20"/>
    <mergeCell ref="F26:G26"/>
    <mergeCell ref="C23:E23"/>
    <mergeCell ref="C24:E24"/>
    <mergeCell ref="C25:E25"/>
    <mergeCell ref="C26:E2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7CE1C-A32C-4C29-B17B-B907632FA044}">
  <dimension ref="A1:G16"/>
  <sheetViews>
    <sheetView zoomScale="130" zoomScaleNormal="203" workbookViewId="0">
      <selection sqref="A1:XFD1048576"/>
    </sheetView>
  </sheetViews>
  <sheetFormatPr defaultRowHeight="15" x14ac:dyDescent="0.25"/>
  <cols>
    <col min="1" max="1" width="18.28515625" customWidth="1"/>
    <col min="5" max="5" width="13.7109375" customWidth="1"/>
    <col min="6" max="6" width="15.140625" customWidth="1"/>
    <col min="7" max="7" width="16.28515625" customWidth="1"/>
  </cols>
  <sheetData>
    <row r="1" spans="1:7" x14ac:dyDescent="0.25">
      <c r="A1" s="3" t="s">
        <v>1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</row>
    <row r="2" spans="1:7" x14ac:dyDescent="0.25">
      <c r="A2" t="s">
        <v>6</v>
      </c>
    </row>
    <row r="3" spans="1:7" x14ac:dyDescent="0.25">
      <c r="A3" t="s">
        <v>18</v>
      </c>
    </row>
    <row r="4" spans="1:7" x14ac:dyDescent="0.25">
      <c r="A4" t="s">
        <v>7</v>
      </c>
    </row>
    <row r="5" spans="1:7" x14ac:dyDescent="0.25">
      <c r="A5" t="s">
        <v>8</v>
      </c>
    </row>
    <row r="6" spans="1:7" x14ac:dyDescent="0.25">
      <c r="A6" t="s">
        <v>9</v>
      </c>
    </row>
    <row r="7" spans="1:7" x14ac:dyDescent="0.25">
      <c r="A7" t="s">
        <v>19</v>
      </c>
    </row>
    <row r="8" spans="1:7" x14ac:dyDescent="0.25">
      <c r="A8" t="s">
        <v>20</v>
      </c>
    </row>
    <row r="9" spans="1:7" x14ac:dyDescent="0.25">
      <c r="A9" t="s">
        <v>10</v>
      </c>
    </row>
    <row r="10" spans="1:7" x14ac:dyDescent="0.25">
      <c r="A10" t="s">
        <v>11</v>
      </c>
    </row>
    <row r="11" spans="1:7" x14ac:dyDescent="0.25">
      <c r="A11" t="s">
        <v>12</v>
      </c>
    </row>
    <row r="12" spans="1:7" x14ac:dyDescent="0.25">
      <c r="A12" t="s">
        <v>13</v>
      </c>
    </row>
    <row r="13" spans="1:7" x14ac:dyDescent="0.25">
      <c r="A13" t="s">
        <v>14</v>
      </c>
    </row>
    <row r="14" spans="1:7" x14ac:dyDescent="0.25">
      <c r="A14" t="s">
        <v>15</v>
      </c>
    </row>
    <row r="15" spans="1:7" x14ac:dyDescent="0.25">
      <c r="A15" t="s">
        <v>16</v>
      </c>
    </row>
    <row r="16" spans="1:7" x14ac:dyDescent="0.25">
      <c r="A16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7A9E-C327-454D-9271-464D5D217390}">
  <dimension ref="A1:G16"/>
  <sheetViews>
    <sheetView tabSelected="1" workbookViewId="0">
      <selection activeCell="F20" sqref="F20"/>
    </sheetView>
  </sheetViews>
  <sheetFormatPr defaultRowHeight="15" x14ac:dyDescent="0.25"/>
  <cols>
    <col min="1" max="1" width="18.28515625" customWidth="1"/>
    <col min="2" max="2" width="18.7109375" customWidth="1"/>
    <col min="3" max="3" width="17.42578125" customWidth="1"/>
    <col min="4" max="4" width="22.28515625" customWidth="1"/>
    <col min="5" max="5" width="24.28515625" customWidth="1"/>
    <col min="6" max="6" width="24" customWidth="1"/>
    <col min="7" max="7" width="24.42578125" customWidth="1"/>
  </cols>
  <sheetData>
    <row r="1" spans="1:7" x14ac:dyDescent="0.25">
      <c r="A1" s="3" t="s">
        <v>1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</row>
    <row r="2" spans="1:7" x14ac:dyDescent="0.25">
      <c r="A2" t="s">
        <v>6</v>
      </c>
      <c r="B2" s="1" t="str">
        <f>LEFT(A2,4)</f>
        <v>Phil</v>
      </c>
      <c r="C2" s="1" t="str">
        <f>RIGHT(A2,4)</f>
        <v>orge</v>
      </c>
      <c r="D2" s="1" t="str">
        <f>MID(A2,5,4)</f>
        <v>ip g</v>
      </c>
      <c r="E2" s="1" t="str">
        <f>LOWER(A2)</f>
        <v>philip gorge</v>
      </c>
      <c r="F2" s="1" t="str">
        <f>UPPER(A2)</f>
        <v>PHILIP GORGE</v>
      </c>
      <c r="G2" s="1" t="str">
        <f>PROPER(A2)</f>
        <v>Philip Gorge</v>
      </c>
    </row>
    <row r="3" spans="1:7" x14ac:dyDescent="0.25">
      <c r="A3" t="s">
        <v>18</v>
      </c>
      <c r="B3" s="1" t="str">
        <f t="shared" ref="B3:B16" si="0">LEFT(A3,4)</f>
        <v>hale</v>
      </c>
      <c r="C3" s="1" t="str">
        <f t="shared" ref="C3:C16" si="1">RIGHT(A3,4)</f>
        <v>eyal</v>
      </c>
      <c r="D3" s="1" t="str">
        <f t="shared" ref="D3:D16" si="2">MID(A3,5,4)</f>
        <v xml:space="preserve">ema </v>
      </c>
      <c r="E3" s="1" t="str">
        <f t="shared" ref="E3:E16" si="3">LOWER(A3)</f>
        <v>haleema keyal</v>
      </c>
      <c r="F3" s="1" t="str">
        <f t="shared" ref="F3:F16" si="4">UPPER(A3)</f>
        <v>HALEEMA KEYAL</v>
      </c>
      <c r="G3" s="1" t="str">
        <f t="shared" ref="G3:G16" si="5">PROPER(A3)</f>
        <v>Haleema Keyal</v>
      </c>
    </row>
    <row r="4" spans="1:7" x14ac:dyDescent="0.25">
      <c r="A4" t="s">
        <v>7</v>
      </c>
      <c r="B4" s="1" t="str">
        <f t="shared" si="0"/>
        <v>Shak</v>
      </c>
      <c r="C4" s="1" t="str">
        <f t="shared" si="1"/>
        <v>kira</v>
      </c>
      <c r="D4" s="1" t="str">
        <f t="shared" si="2"/>
        <v>ira</v>
      </c>
      <c r="E4" s="1" t="str">
        <f t="shared" si="3"/>
        <v>shakira</v>
      </c>
      <c r="F4" s="1" t="str">
        <f t="shared" si="4"/>
        <v>SHAKIRA</v>
      </c>
      <c r="G4" s="1" t="str">
        <f t="shared" si="5"/>
        <v>Shakira</v>
      </c>
    </row>
    <row r="5" spans="1:7" x14ac:dyDescent="0.25">
      <c r="A5" t="s">
        <v>8</v>
      </c>
      <c r="B5" s="1" t="str">
        <f t="shared" si="0"/>
        <v>Arav</v>
      </c>
      <c r="C5" s="1" t="str">
        <f t="shared" si="1"/>
        <v>vind</v>
      </c>
      <c r="D5" s="1" t="str">
        <f t="shared" si="2"/>
        <v>ind</v>
      </c>
      <c r="E5" s="1" t="str">
        <f t="shared" si="3"/>
        <v>aravind</v>
      </c>
      <c r="F5" s="1" t="str">
        <f t="shared" si="4"/>
        <v>ARAVIND</v>
      </c>
      <c r="G5" s="1" t="str">
        <f t="shared" si="5"/>
        <v>Aravind</v>
      </c>
    </row>
    <row r="6" spans="1:7" x14ac:dyDescent="0.25">
      <c r="A6" t="s">
        <v>9</v>
      </c>
      <c r="B6" s="1" t="str">
        <f t="shared" si="0"/>
        <v>Filo</v>
      </c>
      <c r="C6" s="1" t="str">
        <f t="shared" si="1"/>
        <v>mina</v>
      </c>
      <c r="D6" s="1" t="str">
        <f t="shared" si="2"/>
        <v>mina</v>
      </c>
      <c r="E6" s="1" t="str">
        <f t="shared" si="3"/>
        <v>filomina</v>
      </c>
      <c r="F6" s="1" t="str">
        <f t="shared" si="4"/>
        <v>FILOMINA</v>
      </c>
      <c r="G6" s="1" t="str">
        <f t="shared" si="5"/>
        <v>Filomina</v>
      </c>
    </row>
    <row r="7" spans="1:7" x14ac:dyDescent="0.25">
      <c r="A7" t="s">
        <v>19</v>
      </c>
      <c r="B7" s="1" t="str">
        <f t="shared" si="0"/>
        <v>vino</v>
      </c>
      <c r="C7" s="1" t="str">
        <f t="shared" si="1"/>
        <v>nair</v>
      </c>
      <c r="D7" s="1" t="str">
        <f t="shared" si="2"/>
        <v>d na</v>
      </c>
      <c r="E7" s="1" t="str">
        <f t="shared" si="3"/>
        <v>vinod nair</v>
      </c>
      <c r="F7" s="1" t="str">
        <f t="shared" si="4"/>
        <v>VINOD NAIR</v>
      </c>
      <c r="G7" s="1" t="str">
        <f t="shared" si="5"/>
        <v>Vinod Nair</v>
      </c>
    </row>
    <row r="8" spans="1:7" x14ac:dyDescent="0.25">
      <c r="A8" t="s">
        <v>20</v>
      </c>
      <c r="B8" s="1" t="str">
        <f t="shared" si="0"/>
        <v>veen</v>
      </c>
      <c r="C8" s="1" t="str">
        <f t="shared" si="1"/>
        <v>alex</v>
      </c>
      <c r="D8" s="1" t="str">
        <f t="shared" si="2"/>
        <v>a al</v>
      </c>
      <c r="E8" s="1" t="str">
        <f t="shared" si="3"/>
        <v>veena alex</v>
      </c>
      <c r="F8" s="1" t="str">
        <f t="shared" si="4"/>
        <v>VEENA ALEX</v>
      </c>
      <c r="G8" s="1" t="str">
        <f t="shared" si="5"/>
        <v>Veena Alex</v>
      </c>
    </row>
    <row r="9" spans="1:7" x14ac:dyDescent="0.25">
      <c r="A9" t="s">
        <v>10</v>
      </c>
      <c r="B9" s="1" t="str">
        <f t="shared" si="0"/>
        <v>sam</v>
      </c>
      <c r="C9" s="1" t="str">
        <f t="shared" si="1"/>
        <v>sam</v>
      </c>
      <c r="D9" s="1" t="str">
        <f t="shared" si="2"/>
        <v/>
      </c>
      <c r="E9" s="1" t="str">
        <f t="shared" si="3"/>
        <v>sam</v>
      </c>
      <c r="F9" s="1" t="str">
        <f t="shared" si="4"/>
        <v>SAM</v>
      </c>
      <c r="G9" s="1" t="str">
        <f t="shared" si="5"/>
        <v>Sam</v>
      </c>
    </row>
    <row r="10" spans="1:7" x14ac:dyDescent="0.25">
      <c r="A10" t="s">
        <v>11</v>
      </c>
      <c r="B10" s="1" t="str">
        <f t="shared" si="0"/>
        <v>diln</v>
      </c>
      <c r="C10" s="1" t="str">
        <f t="shared" si="1"/>
        <v>erin</v>
      </c>
      <c r="D10" s="1" t="str">
        <f t="shared" si="2"/>
        <v>a sh</v>
      </c>
      <c r="E10" s="1" t="str">
        <f t="shared" si="3"/>
        <v>dilna sherin</v>
      </c>
      <c r="F10" s="1" t="str">
        <f t="shared" si="4"/>
        <v>DILNA SHERIN</v>
      </c>
      <c r="G10" s="1" t="str">
        <f t="shared" si="5"/>
        <v>Dilna Sherin</v>
      </c>
    </row>
    <row r="11" spans="1:7" x14ac:dyDescent="0.25">
      <c r="A11" t="s">
        <v>12</v>
      </c>
      <c r="B11" s="1" t="str">
        <f t="shared" si="0"/>
        <v>rohi</v>
      </c>
      <c r="C11" s="1" t="str">
        <f t="shared" si="1"/>
        <v>poor</v>
      </c>
      <c r="D11" s="1" t="str">
        <f t="shared" si="2"/>
        <v>t ka</v>
      </c>
      <c r="E11" s="1" t="str">
        <f t="shared" si="3"/>
        <v>rohit kapoor</v>
      </c>
      <c r="F11" s="1" t="str">
        <f t="shared" si="4"/>
        <v>ROHIT KAPOOR</v>
      </c>
      <c r="G11" s="1" t="str">
        <f t="shared" si="5"/>
        <v>Rohit Kapoor</v>
      </c>
    </row>
    <row r="12" spans="1:7" x14ac:dyDescent="0.25">
      <c r="A12" t="s">
        <v>13</v>
      </c>
      <c r="B12" s="1" t="str">
        <f t="shared" si="0"/>
        <v>shar</v>
      </c>
      <c r="C12" s="1" t="str">
        <f t="shared" si="1"/>
        <v>umar</v>
      </c>
      <c r="D12" s="1" t="str">
        <f t="shared" si="2"/>
        <v>an k</v>
      </c>
      <c r="E12" s="1" t="str">
        <f t="shared" si="3"/>
        <v>sharan kumar</v>
      </c>
      <c r="F12" s="1" t="str">
        <f t="shared" si="4"/>
        <v>SHARAN KUMAR</v>
      </c>
      <c r="G12" s="1" t="str">
        <f t="shared" si="5"/>
        <v>Sharan Kumar</v>
      </c>
    </row>
    <row r="13" spans="1:7" x14ac:dyDescent="0.25">
      <c r="A13" t="s">
        <v>14</v>
      </c>
      <c r="B13" s="1" t="str">
        <f t="shared" si="0"/>
        <v>shya</v>
      </c>
      <c r="C13" s="1" t="str">
        <f t="shared" si="1"/>
        <v xml:space="preserve"> joy</v>
      </c>
      <c r="D13" s="1" t="str">
        <f t="shared" si="2"/>
        <v>m jo</v>
      </c>
      <c r="E13" s="1" t="str">
        <f t="shared" si="3"/>
        <v>shyam joy</v>
      </c>
      <c r="F13" s="1" t="str">
        <f t="shared" si="4"/>
        <v>SHYAM JOY</v>
      </c>
      <c r="G13" s="1" t="str">
        <f t="shared" si="5"/>
        <v>Shyam Joy</v>
      </c>
    </row>
    <row r="14" spans="1:7" x14ac:dyDescent="0.25">
      <c r="A14" t="s">
        <v>15</v>
      </c>
      <c r="B14" s="1" t="str">
        <f t="shared" si="0"/>
        <v xml:space="preserve">ram </v>
      </c>
      <c r="C14" s="1" t="str">
        <f t="shared" si="1"/>
        <v>hnan</v>
      </c>
      <c r="D14" s="1" t="str">
        <f t="shared" si="2"/>
        <v>kris</v>
      </c>
      <c r="E14" s="1" t="str">
        <f t="shared" si="3"/>
        <v>ram krishnan</v>
      </c>
      <c r="F14" s="1" t="str">
        <f t="shared" si="4"/>
        <v>RAM KRISHNAN</v>
      </c>
      <c r="G14" s="1" t="str">
        <f t="shared" si="5"/>
        <v>Ram Krishnan</v>
      </c>
    </row>
    <row r="15" spans="1:7" x14ac:dyDescent="0.25">
      <c r="A15" t="s">
        <v>16</v>
      </c>
      <c r="B15" s="1" t="str">
        <f t="shared" si="0"/>
        <v>alee</v>
      </c>
      <c r="C15" s="1" t="str">
        <f t="shared" si="1"/>
        <v>hosh</v>
      </c>
      <c r="D15" s="1" t="str">
        <f t="shared" si="2"/>
        <v>na s</v>
      </c>
      <c r="E15" s="1" t="str">
        <f t="shared" si="3"/>
        <v>aleena santhosh</v>
      </c>
      <c r="F15" s="1" t="str">
        <f t="shared" si="4"/>
        <v>ALEENA SANTHOSH</v>
      </c>
      <c r="G15" s="1" t="str">
        <f t="shared" si="5"/>
        <v>Aleena Santhosh</v>
      </c>
    </row>
    <row r="16" spans="1:7" x14ac:dyDescent="0.25">
      <c r="A16" t="s">
        <v>17</v>
      </c>
      <c r="B16" s="1" t="str">
        <f t="shared" si="0"/>
        <v xml:space="preserve">joy </v>
      </c>
      <c r="C16" s="1" t="str">
        <f t="shared" si="1"/>
        <v>thew</v>
      </c>
      <c r="D16" s="1" t="str">
        <f t="shared" si="2"/>
        <v>math</v>
      </c>
      <c r="E16" s="1" t="str">
        <f t="shared" si="3"/>
        <v>joy mathew</v>
      </c>
      <c r="F16" s="1" t="str">
        <f t="shared" si="4"/>
        <v>JOY MATHEW</v>
      </c>
      <c r="G16" s="1" t="str">
        <f t="shared" si="5"/>
        <v>Joy Mathew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74D1-16F2-4949-B8CD-E6890A15FC8A}">
  <dimension ref="A1:S28"/>
  <sheetViews>
    <sheetView zoomScale="112" zoomScaleNormal="112" workbookViewId="0">
      <selection activeCell="G36" sqref="G36"/>
    </sheetView>
  </sheetViews>
  <sheetFormatPr defaultRowHeight="15" x14ac:dyDescent="0.25"/>
  <cols>
    <col min="1" max="1" width="9.140625" customWidth="1"/>
    <col min="3" max="3" width="20.140625" customWidth="1"/>
    <col min="6" max="6" width="10.42578125" bestFit="1" customWidth="1"/>
    <col min="12" max="12" width="13" customWidth="1"/>
    <col min="18" max="18" width="10.42578125" customWidth="1"/>
  </cols>
  <sheetData>
    <row r="1" spans="1:19" x14ac:dyDescent="0.25">
      <c r="H1" s="10" t="s">
        <v>33</v>
      </c>
      <c r="I1" s="10"/>
      <c r="J1" s="10"/>
      <c r="K1" s="10"/>
      <c r="L1" t="s">
        <v>87</v>
      </c>
    </row>
    <row r="2" spans="1:19" x14ac:dyDescent="0.25">
      <c r="H2" s="7" t="s">
        <v>81</v>
      </c>
      <c r="I2" s="7" t="s">
        <v>32</v>
      </c>
      <c r="J2" s="7" t="s">
        <v>82</v>
      </c>
      <c r="K2" s="7" t="s">
        <v>83</v>
      </c>
      <c r="L2" s="7" t="s">
        <v>88</v>
      </c>
      <c r="M2" s="7" t="s">
        <v>91</v>
      </c>
      <c r="N2" s="7" t="s">
        <v>92</v>
      </c>
    </row>
    <row r="3" spans="1:19" x14ac:dyDescent="0.25">
      <c r="A3" s="3" t="s">
        <v>102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27</v>
      </c>
      <c r="I3" s="3" t="s">
        <v>32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31</v>
      </c>
    </row>
    <row r="4" spans="1:19" x14ac:dyDescent="0.25">
      <c r="A4">
        <v>1</v>
      </c>
      <c r="B4" t="s">
        <v>42</v>
      </c>
      <c r="C4" t="s">
        <v>6</v>
      </c>
      <c r="D4">
        <v>56</v>
      </c>
      <c r="E4">
        <v>34</v>
      </c>
      <c r="F4">
        <v>20</v>
      </c>
      <c r="G4">
        <v>50</v>
      </c>
      <c r="H4" s="1">
        <f>SUM(D4:G4)</f>
        <v>160</v>
      </c>
      <c r="I4" s="1">
        <f>AVERAGE(D4:G4)</f>
        <v>40</v>
      </c>
      <c r="J4" s="1">
        <f>MAX(D4:G4)</f>
        <v>56</v>
      </c>
      <c r="K4" s="1">
        <f>MIN(D4:G4)</f>
        <v>20</v>
      </c>
      <c r="L4" s="1" t="str">
        <f>IF(H4&gt;250,"PASS","FAIL")</f>
        <v>FAIL</v>
      </c>
      <c r="M4" s="1" t="str">
        <f>IF(H4&gt;400,"A",IF(H4&gt;300,"B",IF(H4&gt;200,"C",IF(H4&gt;100,"D","E"))))</f>
        <v>D</v>
      </c>
      <c r="N4" s="1" t="str" cm="1">
        <f t="array" ref="N4">_xlfn.IFS(H4&gt;400,"A",H4&gt;300,"B",H4&gt;200,"C",H4&gt;100,"D",H4&lt;100,"E")</f>
        <v>D</v>
      </c>
      <c r="R4" s="8" t="s">
        <v>31</v>
      </c>
      <c r="S4" s="8"/>
    </row>
    <row r="5" spans="1:19" x14ac:dyDescent="0.25">
      <c r="A5">
        <v>2</v>
      </c>
      <c r="B5" t="s">
        <v>43</v>
      </c>
      <c r="C5" t="s">
        <v>18</v>
      </c>
      <c r="D5">
        <v>45</v>
      </c>
      <c r="E5">
        <v>56</v>
      </c>
      <c r="F5">
        <v>30</v>
      </c>
      <c r="G5">
        <v>90</v>
      </c>
      <c r="H5" s="1">
        <f t="shared" ref="H5:H18" si="0">SUM(D5:G5)</f>
        <v>221</v>
      </c>
      <c r="I5" s="1">
        <f t="shared" ref="I5:I18" si="1">AVERAGE(D5:G5)</f>
        <v>55.25</v>
      </c>
      <c r="J5" s="1">
        <f t="shared" ref="J5:J18" si="2">MAX(D5:G5)</f>
        <v>90</v>
      </c>
      <c r="K5" s="1">
        <f t="shared" ref="K5:K18" si="3">MIN(D5:G5)</f>
        <v>30</v>
      </c>
      <c r="L5" s="1" t="str">
        <f t="shared" ref="L5:L18" si="4">IF(H5&gt;250,"PASS","FAIL")</f>
        <v>FAIL</v>
      </c>
      <c r="M5" s="1" t="str">
        <f t="shared" ref="M5:M18" si="5">IF(H5&gt;400,"A",IF(H5&gt;300,"B",IF(H5&gt;200,"C",IF(H5&gt;100,"D","E"))))</f>
        <v>C</v>
      </c>
      <c r="N5" s="1" t="str" cm="1">
        <f t="array" ref="N5">_xlfn.IFS(H5&gt;400,"A",H5&gt;300,"B",H5&gt;200,"C",H5&gt;100,"D",H5&lt;100,"E")</f>
        <v>C</v>
      </c>
      <c r="R5" s="5" t="s">
        <v>89</v>
      </c>
      <c r="S5" s="4" t="s">
        <v>34</v>
      </c>
    </row>
    <row r="6" spans="1:19" x14ac:dyDescent="0.25">
      <c r="A6">
        <v>3</v>
      </c>
      <c r="B6" t="s">
        <v>44</v>
      </c>
      <c r="C6" t="s">
        <v>7</v>
      </c>
      <c r="E6">
        <v>78</v>
      </c>
      <c r="F6">
        <v>79</v>
      </c>
      <c r="G6">
        <v>87</v>
      </c>
      <c r="H6" s="1">
        <f t="shared" si="0"/>
        <v>244</v>
      </c>
      <c r="I6" s="1">
        <f t="shared" si="1"/>
        <v>81.333333333333329</v>
      </c>
      <c r="J6" s="1">
        <f t="shared" si="2"/>
        <v>87</v>
      </c>
      <c r="K6" s="1">
        <f t="shared" si="3"/>
        <v>78</v>
      </c>
      <c r="L6" s="1" t="str">
        <f t="shared" si="4"/>
        <v>FAIL</v>
      </c>
      <c r="M6" s="1" t="str">
        <f t="shared" si="5"/>
        <v>C</v>
      </c>
      <c r="N6" s="1" t="str" cm="1">
        <f t="array" ref="N6">_xlfn.IFS(H6&gt;400,"A",H6&gt;300,"B",H6&gt;200,"C",H6&gt;100,"D",H6&lt;100,"E")</f>
        <v>C</v>
      </c>
      <c r="R6" s="5">
        <v>300</v>
      </c>
      <c r="S6" s="4" t="s">
        <v>35</v>
      </c>
    </row>
    <row r="7" spans="1:19" x14ac:dyDescent="0.25">
      <c r="A7">
        <v>4</v>
      </c>
      <c r="B7" t="s">
        <v>45</v>
      </c>
      <c r="C7" t="s">
        <v>8</v>
      </c>
      <c r="D7">
        <v>25</v>
      </c>
      <c r="E7">
        <v>89</v>
      </c>
      <c r="F7">
        <v>64</v>
      </c>
      <c r="G7">
        <v>68</v>
      </c>
      <c r="H7" s="1">
        <f t="shared" si="0"/>
        <v>246</v>
      </c>
      <c r="I7" s="1">
        <f t="shared" si="1"/>
        <v>61.5</v>
      </c>
      <c r="J7" s="1">
        <f t="shared" si="2"/>
        <v>89</v>
      </c>
      <c r="K7" s="1">
        <f t="shared" si="3"/>
        <v>25</v>
      </c>
      <c r="L7" s="1" t="str">
        <f t="shared" si="4"/>
        <v>FAIL</v>
      </c>
      <c r="M7" s="1" t="str">
        <f t="shared" si="5"/>
        <v>C</v>
      </c>
      <c r="N7" s="1" t="str" cm="1">
        <f t="array" ref="N7">_xlfn.IFS(H7&gt;400,"A",H7&gt;300,"B",H7&gt;200,"C",H7&gt;100,"D",H7&lt;100,"E")</f>
        <v>C</v>
      </c>
      <c r="R7" s="5">
        <v>200</v>
      </c>
      <c r="S7" s="4" t="s">
        <v>36</v>
      </c>
    </row>
    <row r="8" spans="1:19" x14ac:dyDescent="0.25">
      <c r="A8">
        <v>5</v>
      </c>
      <c r="B8" t="s">
        <v>46</v>
      </c>
      <c r="C8" t="s">
        <v>9</v>
      </c>
      <c r="D8">
        <v>60</v>
      </c>
      <c r="E8">
        <v>34</v>
      </c>
      <c r="F8">
        <v>89</v>
      </c>
      <c r="G8">
        <v>59</v>
      </c>
      <c r="H8" s="1">
        <f t="shared" si="0"/>
        <v>242</v>
      </c>
      <c r="I8" s="1">
        <f t="shared" si="1"/>
        <v>60.5</v>
      </c>
      <c r="J8" s="1">
        <f t="shared" si="2"/>
        <v>89</v>
      </c>
      <c r="K8" s="1">
        <f t="shared" si="3"/>
        <v>34</v>
      </c>
      <c r="L8" s="1" t="str">
        <f t="shared" si="4"/>
        <v>FAIL</v>
      </c>
      <c r="M8" s="1" t="str">
        <f t="shared" si="5"/>
        <v>C</v>
      </c>
      <c r="N8" s="1" t="str" cm="1">
        <f t="array" ref="N8">_xlfn.IFS(H8&gt;400,"A",H8&gt;300,"B",H8&gt;200,"C",H8&gt;100,"D",H8&lt;100,"E")</f>
        <v>C</v>
      </c>
      <c r="R8" s="5">
        <v>100</v>
      </c>
      <c r="S8" s="4" t="s">
        <v>37</v>
      </c>
    </row>
    <row r="9" spans="1:19" x14ac:dyDescent="0.25">
      <c r="A9">
        <v>6</v>
      </c>
      <c r="B9" t="s">
        <v>47</v>
      </c>
      <c r="C9" t="s">
        <v>19</v>
      </c>
      <c r="D9">
        <v>89</v>
      </c>
      <c r="E9">
        <v>56</v>
      </c>
      <c r="G9">
        <v>40</v>
      </c>
      <c r="H9" s="1">
        <f t="shared" si="0"/>
        <v>185</v>
      </c>
      <c r="I9" s="1">
        <f t="shared" si="1"/>
        <v>61.666666666666664</v>
      </c>
      <c r="J9" s="1">
        <f t="shared" si="2"/>
        <v>89</v>
      </c>
      <c r="K9" s="1">
        <f t="shared" si="3"/>
        <v>40</v>
      </c>
      <c r="L9" s="1" t="str">
        <f t="shared" si="4"/>
        <v>FAIL</v>
      </c>
      <c r="M9" s="1" t="str">
        <f t="shared" si="5"/>
        <v>D</v>
      </c>
      <c r="N9" s="1" t="str" cm="1">
        <f t="array" ref="N9">_xlfn.IFS(H9&gt;400,"A",H9&gt;300,"B",H9&gt;200,"C",H9&gt;100,"D",H9&lt;100,"E")</f>
        <v>D</v>
      </c>
      <c r="R9" s="5" t="s">
        <v>90</v>
      </c>
      <c r="S9" s="4" t="s">
        <v>38</v>
      </c>
    </row>
    <row r="10" spans="1:19" x14ac:dyDescent="0.25">
      <c r="A10">
        <v>7</v>
      </c>
      <c r="B10" t="s">
        <v>48</v>
      </c>
      <c r="C10" t="s">
        <v>20</v>
      </c>
      <c r="D10">
        <v>90</v>
      </c>
      <c r="E10">
        <v>76</v>
      </c>
      <c r="F10">
        <v>59</v>
      </c>
      <c r="G10">
        <v>39</v>
      </c>
      <c r="H10" s="1">
        <f t="shared" si="0"/>
        <v>264</v>
      </c>
      <c r="I10" s="1">
        <f t="shared" si="1"/>
        <v>66</v>
      </c>
      <c r="J10" s="1">
        <f t="shared" si="2"/>
        <v>90</v>
      </c>
      <c r="K10" s="1">
        <f t="shared" si="3"/>
        <v>39</v>
      </c>
      <c r="L10" s="1" t="str">
        <f t="shared" si="4"/>
        <v>PASS</v>
      </c>
      <c r="M10" s="1" t="str">
        <f t="shared" si="5"/>
        <v>C</v>
      </c>
      <c r="N10" s="1" t="str" cm="1">
        <f t="array" ref="N10">_xlfn.IFS(H10&gt;400,"A",H10&gt;300,"B",H10&gt;200,"C",H10&gt;100,"D",H10&lt;100,"E")</f>
        <v>C</v>
      </c>
    </row>
    <row r="11" spans="1:19" x14ac:dyDescent="0.25">
      <c r="A11">
        <v>8</v>
      </c>
      <c r="B11" t="s">
        <v>49</v>
      </c>
      <c r="C11" t="s">
        <v>10</v>
      </c>
      <c r="D11">
        <v>70</v>
      </c>
      <c r="E11">
        <v>66</v>
      </c>
      <c r="F11">
        <v>59</v>
      </c>
      <c r="G11">
        <v>50</v>
      </c>
      <c r="H11" s="1">
        <f t="shared" si="0"/>
        <v>245</v>
      </c>
      <c r="I11" s="1">
        <f t="shared" si="1"/>
        <v>61.25</v>
      </c>
      <c r="J11" s="1">
        <f t="shared" si="2"/>
        <v>70</v>
      </c>
      <c r="K11" s="1">
        <f t="shared" si="3"/>
        <v>50</v>
      </c>
      <c r="L11" s="1" t="str">
        <f t="shared" si="4"/>
        <v>FAIL</v>
      </c>
      <c r="M11" s="1" t="str">
        <f t="shared" si="5"/>
        <v>C</v>
      </c>
      <c r="N11" s="1" t="str" cm="1">
        <f t="array" ref="N11">_xlfn.IFS(H11&gt;400,"A",H11&gt;300,"B",H11&gt;200,"C",H11&gt;100,"D",H11&lt;100,"E")</f>
        <v>C</v>
      </c>
    </row>
    <row r="12" spans="1:19" x14ac:dyDescent="0.25">
      <c r="A12">
        <v>9</v>
      </c>
      <c r="B12" t="s">
        <v>50</v>
      </c>
      <c r="C12" t="s">
        <v>11</v>
      </c>
      <c r="D12">
        <v>60</v>
      </c>
      <c r="E12">
        <v>65</v>
      </c>
      <c r="F12">
        <v>90</v>
      </c>
      <c r="G12">
        <v>55</v>
      </c>
      <c r="H12" s="1">
        <f t="shared" si="0"/>
        <v>270</v>
      </c>
      <c r="I12" s="1">
        <f t="shared" si="1"/>
        <v>67.5</v>
      </c>
      <c r="J12" s="1">
        <f t="shared" si="2"/>
        <v>90</v>
      </c>
      <c r="K12" s="1">
        <f t="shared" si="3"/>
        <v>55</v>
      </c>
      <c r="L12" s="1" t="str">
        <f t="shared" si="4"/>
        <v>PASS</v>
      </c>
      <c r="M12" s="1" t="str">
        <f t="shared" si="5"/>
        <v>C</v>
      </c>
      <c r="N12" s="1" t="str" cm="1">
        <f t="array" ref="N12">_xlfn.IFS(H12&gt;400,"A",H12&gt;300,"B",H12&gt;200,"C",H12&gt;100,"D",H12&lt;100,"E")</f>
        <v>C</v>
      </c>
    </row>
    <row r="13" spans="1:19" x14ac:dyDescent="0.25">
      <c r="A13">
        <v>10</v>
      </c>
      <c r="B13" t="s">
        <v>51</v>
      </c>
      <c r="C13" t="s">
        <v>12</v>
      </c>
      <c r="D13">
        <v>90</v>
      </c>
      <c r="F13">
        <v>95</v>
      </c>
      <c r="G13">
        <v>99</v>
      </c>
      <c r="H13" s="1">
        <f t="shared" si="0"/>
        <v>284</v>
      </c>
      <c r="I13" s="1">
        <f t="shared" si="1"/>
        <v>94.666666666666671</v>
      </c>
      <c r="J13" s="1">
        <f t="shared" si="2"/>
        <v>99</v>
      </c>
      <c r="K13" s="1">
        <f t="shared" si="3"/>
        <v>90</v>
      </c>
      <c r="L13" s="1" t="str">
        <f t="shared" si="4"/>
        <v>PASS</v>
      </c>
      <c r="M13" s="1" t="str">
        <f t="shared" si="5"/>
        <v>C</v>
      </c>
      <c r="N13" s="1" t="str" cm="1">
        <f t="array" ref="N13">_xlfn.IFS(H13&gt;400,"A",H13&gt;300,"B",H13&gt;200,"C",H13&gt;100,"D",H13&lt;100,"E")</f>
        <v>C</v>
      </c>
    </row>
    <row r="14" spans="1:19" x14ac:dyDescent="0.25">
      <c r="A14">
        <v>11</v>
      </c>
      <c r="B14" t="s">
        <v>52</v>
      </c>
      <c r="C14" t="s">
        <v>13</v>
      </c>
      <c r="D14">
        <v>90</v>
      </c>
      <c r="E14">
        <v>90</v>
      </c>
      <c r="F14">
        <v>85</v>
      </c>
      <c r="G14">
        <v>94</v>
      </c>
      <c r="H14" s="1">
        <f t="shared" si="0"/>
        <v>359</v>
      </c>
      <c r="I14" s="1">
        <f t="shared" si="1"/>
        <v>89.75</v>
      </c>
      <c r="J14" s="1">
        <f t="shared" si="2"/>
        <v>94</v>
      </c>
      <c r="K14" s="1">
        <f t="shared" si="3"/>
        <v>85</v>
      </c>
      <c r="L14" s="1" t="str">
        <f t="shared" si="4"/>
        <v>PASS</v>
      </c>
      <c r="M14" s="1" t="str">
        <f t="shared" si="5"/>
        <v>B</v>
      </c>
      <c r="N14" s="1" t="str" cm="1">
        <f t="array" ref="N14">_xlfn.IFS(H14&gt;400,"A",H14&gt;300,"B",H14&gt;200,"C",H14&gt;100,"D",H14&lt;100,"E")</f>
        <v>B</v>
      </c>
    </row>
    <row r="15" spans="1:19" x14ac:dyDescent="0.25">
      <c r="A15">
        <v>12</v>
      </c>
      <c r="B15" t="s">
        <v>53</v>
      </c>
      <c r="C15" t="s">
        <v>14</v>
      </c>
      <c r="E15">
        <v>95</v>
      </c>
      <c r="F15">
        <v>88</v>
      </c>
      <c r="G15">
        <v>85</v>
      </c>
      <c r="H15" s="1">
        <f t="shared" si="0"/>
        <v>268</v>
      </c>
      <c r="I15" s="1">
        <f t="shared" si="1"/>
        <v>89.333333333333329</v>
      </c>
      <c r="J15" s="1">
        <f t="shared" si="2"/>
        <v>95</v>
      </c>
      <c r="K15" s="1">
        <f t="shared" si="3"/>
        <v>85</v>
      </c>
      <c r="L15" s="1" t="str">
        <f t="shared" si="4"/>
        <v>PASS</v>
      </c>
      <c r="M15" s="1" t="str">
        <f t="shared" si="5"/>
        <v>C</v>
      </c>
      <c r="N15" s="1" t="str" cm="1">
        <f t="array" ref="N15">_xlfn.IFS(H15&gt;400,"A",H15&gt;300,"B",H15&gt;200,"C",H15&gt;100,"D",H15&lt;100,"E")</f>
        <v>C</v>
      </c>
    </row>
    <row r="16" spans="1:19" x14ac:dyDescent="0.25">
      <c r="A16">
        <v>13</v>
      </c>
      <c r="B16" t="s">
        <v>54</v>
      </c>
      <c r="C16" t="s">
        <v>15</v>
      </c>
      <c r="D16">
        <v>89</v>
      </c>
      <c r="E16">
        <v>80</v>
      </c>
      <c r="F16">
        <v>99</v>
      </c>
      <c r="G16">
        <v>52</v>
      </c>
      <c r="H16" s="1">
        <f t="shared" si="0"/>
        <v>320</v>
      </c>
      <c r="I16" s="1">
        <f t="shared" si="1"/>
        <v>80</v>
      </c>
      <c r="J16" s="1">
        <f t="shared" si="2"/>
        <v>99</v>
      </c>
      <c r="K16" s="1">
        <f t="shared" si="3"/>
        <v>52</v>
      </c>
      <c r="L16" s="1" t="str">
        <f t="shared" si="4"/>
        <v>PASS</v>
      </c>
      <c r="M16" s="1" t="str">
        <f t="shared" si="5"/>
        <v>B</v>
      </c>
      <c r="N16" s="1" t="str" cm="1">
        <f t="array" ref="N16">_xlfn.IFS(H16&gt;400,"A",H16&gt;300,"B",H16&gt;200,"C",H16&gt;100,"D",H16&lt;100,"E")</f>
        <v>B</v>
      </c>
    </row>
    <row r="17" spans="1:14" x14ac:dyDescent="0.25">
      <c r="A17">
        <v>14</v>
      </c>
      <c r="B17" t="s">
        <v>55</v>
      </c>
      <c r="C17" t="s">
        <v>16</v>
      </c>
      <c r="D17">
        <v>85</v>
      </c>
      <c r="E17">
        <v>92</v>
      </c>
      <c r="F17">
        <v>70</v>
      </c>
      <c r="G17">
        <v>74</v>
      </c>
      <c r="H17" s="1">
        <f t="shared" si="0"/>
        <v>321</v>
      </c>
      <c r="I17" s="1">
        <f t="shared" si="1"/>
        <v>80.25</v>
      </c>
      <c r="J17" s="1">
        <f t="shared" si="2"/>
        <v>92</v>
      </c>
      <c r="K17" s="1">
        <f t="shared" si="3"/>
        <v>70</v>
      </c>
      <c r="L17" s="1" t="str">
        <f t="shared" si="4"/>
        <v>PASS</v>
      </c>
      <c r="M17" s="1" t="str">
        <f t="shared" si="5"/>
        <v>B</v>
      </c>
      <c r="N17" s="1" t="str" cm="1">
        <f t="array" ref="N17">_xlfn.IFS(H17&gt;400,"A",H17&gt;300,"B",H17&gt;200,"C",H17&gt;100,"D",H17&lt;100,"E")</f>
        <v>B</v>
      </c>
    </row>
    <row r="18" spans="1:14" x14ac:dyDescent="0.25">
      <c r="A18">
        <v>15</v>
      </c>
      <c r="B18" t="s">
        <v>56</v>
      </c>
      <c r="C18" t="s">
        <v>17</v>
      </c>
      <c r="D18">
        <v>95</v>
      </c>
      <c r="E18">
        <v>91</v>
      </c>
      <c r="F18">
        <v>67</v>
      </c>
      <c r="G18">
        <v>83</v>
      </c>
      <c r="H18" s="1">
        <f t="shared" si="0"/>
        <v>336</v>
      </c>
      <c r="I18" s="1">
        <f t="shared" si="1"/>
        <v>84</v>
      </c>
      <c r="J18" s="1">
        <f t="shared" si="2"/>
        <v>95</v>
      </c>
      <c r="K18" s="1">
        <f t="shared" si="3"/>
        <v>67</v>
      </c>
      <c r="L18" s="1" t="str">
        <f t="shared" si="4"/>
        <v>PASS</v>
      </c>
      <c r="M18" s="1" t="str">
        <f t="shared" si="5"/>
        <v>B</v>
      </c>
      <c r="N18" s="1" t="str" cm="1">
        <f t="array" ref="N18">_xlfn.IFS(H18&gt;400,"A",H18&gt;300,"B",H18&gt;200,"C",H18&gt;100,"D",H18&lt;100,"E")</f>
        <v>B</v>
      </c>
    </row>
    <row r="19" spans="1:14" ht="15.75" thickBot="1" x14ac:dyDescent="0.3"/>
    <row r="20" spans="1:14" ht="17.45" customHeight="1" x14ac:dyDescent="0.25">
      <c r="A20" s="20" t="s">
        <v>84</v>
      </c>
      <c r="B20" s="21"/>
      <c r="C20" s="11" t="s">
        <v>41</v>
      </c>
      <c r="D20" s="11"/>
      <c r="E20" s="11"/>
      <c r="F20" s="12">
        <f>COUNT(A4:A18)</f>
        <v>15</v>
      </c>
      <c r="G20" s="13"/>
    </row>
    <row r="21" spans="1:14" ht="21" customHeight="1" x14ac:dyDescent="0.25">
      <c r="A21" s="22" t="s">
        <v>85</v>
      </c>
      <c r="B21" s="23"/>
      <c r="C21" s="8" t="s">
        <v>39</v>
      </c>
      <c r="D21" s="8"/>
      <c r="E21" s="8"/>
      <c r="F21" s="14">
        <f>COUNTA(B4:B18)</f>
        <v>15</v>
      </c>
      <c r="G21" s="15"/>
    </row>
    <row r="22" spans="1:14" ht="19.7" customHeight="1" x14ac:dyDescent="0.25">
      <c r="A22" s="22" t="s">
        <v>86</v>
      </c>
      <c r="B22" s="23"/>
      <c r="C22" s="8" t="s">
        <v>40</v>
      </c>
      <c r="D22" s="8"/>
      <c r="E22" s="8"/>
      <c r="F22" s="14">
        <f>COUNTBLANK(D4:G18)</f>
        <v>4</v>
      </c>
      <c r="G22" s="15"/>
    </row>
    <row r="23" spans="1:14" ht="22.9" customHeight="1" x14ac:dyDescent="0.25">
      <c r="A23" s="22" t="s">
        <v>93</v>
      </c>
      <c r="B23" s="23"/>
      <c r="C23" s="8" t="s">
        <v>57</v>
      </c>
      <c r="D23" s="8"/>
      <c r="E23" s="8"/>
      <c r="F23" s="14">
        <f>COUNTIF(L4:L18,"PASS")</f>
        <v>8</v>
      </c>
      <c r="G23" s="15"/>
    </row>
    <row r="24" spans="1:14" ht="22.15" customHeight="1" x14ac:dyDescent="0.25">
      <c r="A24" s="22" t="s">
        <v>95</v>
      </c>
      <c r="B24" s="23"/>
      <c r="C24" s="8" t="s">
        <v>94</v>
      </c>
      <c r="D24" s="8"/>
      <c r="E24" s="8"/>
      <c r="F24" s="14">
        <f>COUNTIFS(L4:L18,"PASS",M4:M18,"B")</f>
        <v>4</v>
      </c>
      <c r="G24" s="15"/>
    </row>
    <row r="25" spans="1:14" ht="22.15" customHeight="1" x14ac:dyDescent="0.25">
      <c r="A25" s="22" t="s">
        <v>96</v>
      </c>
      <c r="B25" s="23"/>
      <c r="C25" s="8" t="s">
        <v>58</v>
      </c>
      <c r="D25" s="8"/>
      <c r="E25" s="8"/>
      <c r="F25" s="14">
        <f>SUMIF(L4:L18,"PASS",H4:H18)</f>
        <v>2422</v>
      </c>
      <c r="G25" s="15"/>
    </row>
    <row r="26" spans="1:14" ht="22.15" customHeight="1" x14ac:dyDescent="0.25">
      <c r="A26" s="22" t="s">
        <v>98</v>
      </c>
      <c r="B26" s="23"/>
      <c r="C26" s="8" t="s">
        <v>97</v>
      </c>
      <c r="D26" s="8"/>
      <c r="E26" s="8"/>
      <c r="F26" s="14">
        <f>SUMIFS(H4:H18,L4:L18,"PASS",M4:M18,"B")</f>
        <v>1336</v>
      </c>
      <c r="G26" s="15"/>
    </row>
    <row r="27" spans="1:14" ht="20.45" customHeight="1" x14ac:dyDescent="0.25">
      <c r="A27" s="22" t="s">
        <v>99</v>
      </c>
      <c r="B27" s="23"/>
      <c r="C27" s="8" t="s">
        <v>59</v>
      </c>
      <c r="D27" s="8"/>
      <c r="E27" s="8"/>
      <c r="F27" s="14">
        <f>AVERAGEIF(L4:L18,"PASS",I4:I18)</f>
        <v>81.4375</v>
      </c>
      <c r="G27" s="15"/>
    </row>
    <row r="28" spans="1:14" ht="23.45" customHeight="1" thickBot="1" x14ac:dyDescent="0.3">
      <c r="A28" s="16" t="s">
        <v>101</v>
      </c>
      <c r="B28" s="17"/>
      <c r="C28" s="9" t="s">
        <v>100</v>
      </c>
      <c r="D28" s="9"/>
      <c r="E28" s="9"/>
      <c r="F28" s="18">
        <f>AVERAGEIFS(I4:I18,L4:L18,"PASS",M4:M18,"B")</f>
        <v>83.5</v>
      </c>
      <c r="G28" s="19"/>
    </row>
  </sheetData>
  <mergeCells count="29">
    <mergeCell ref="A21:B21"/>
    <mergeCell ref="C21:E21"/>
    <mergeCell ref="F21:G21"/>
    <mergeCell ref="H1:K1"/>
    <mergeCell ref="R4:S4"/>
    <mergeCell ref="A20:B20"/>
    <mergeCell ref="C20:E20"/>
    <mergeCell ref="F20:G20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8:B28"/>
    <mergeCell ref="C28:E28"/>
    <mergeCell ref="F28:G28"/>
    <mergeCell ref="A26:B26"/>
    <mergeCell ref="C26:E26"/>
    <mergeCell ref="F26:G26"/>
    <mergeCell ref="A27:B27"/>
    <mergeCell ref="C27:E27"/>
    <mergeCell ref="F27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Operators</vt:lpstr>
      <vt:lpstr>Functions</vt:lpstr>
      <vt:lpstr>Text Functions</vt:lpstr>
      <vt:lpstr>Text fns Answer</vt:lpstr>
      <vt:lpstr>Functions Answers</vt:lpstr>
      <vt:lpstr>MATHS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Haneesha Thasni</dc:creator>
  <cp:lastModifiedBy>rasmi2415@gmail.com</cp:lastModifiedBy>
  <dcterms:created xsi:type="dcterms:W3CDTF">2026-04-23T12:13:31Z</dcterms:created>
  <dcterms:modified xsi:type="dcterms:W3CDTF">2026-10-11T17:55:42Z</dcterms:modified>
</cp:coreProperties>
</file>